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MAESTRIA_INGENIERIA_SOFTWARE_Y_SISTEMAS_INFORMATICOS_UNIR\TRABAJO_FIN_DEL_MASTER\"/>
    </mc:Choice>
  </mc:AlternateContent>
  <xr:revisionPtr revIDLastSave="0" documentId="13_ncr:1_{3E01DEC9-6239-425C-9A10-E63847B5DA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Entidades Backend" sheetId="1" r:id="rId1"/>
    <sheet name="Instrucciones" sheetId="2" r:id="rId2"/>
    <sheet name="Criterios CRU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30" i="1"/>
  <c r="J31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5" i="1"/>
  <c r="D3" i="1" l="1"/>
  <c r="H3" i="1" s="1"/>
  <c r="F3" i="1" l="1"/>
</calcChain>
</file>

<file path=xl/sharedStrings.xml><?xml version="1.0" encoding="utf-8"?>
<sst xmlns="http://schemas.openxmlformats.org/spreadsheetml/2006/main" count="309" uniqueCount="118">
  <si>
    <t>RESUMEN DE PROGRESO</t>
  </si>
  <si>
    <t>Total de Entidades:</t>
  </si>
  <si>
    <t>Completadas:</t>
  </si>
  <si>
    <t>Pendientes:</t>
  </si>
  <si>
    <t>% Avance:</t>
  </si>
  <si>
    <t>#</t>
  </si>
  <si>
    <t>NOMBRE DE LA ENTIDAD</t>
  </si>
  <si>
    <t>CONTADOR</t>
  </si>
  <si>
    <t>LISTAR</t>
  </si>
  <si>
    <t>CREAR</t>
  </si>
  <si>
    <t>CONSULTAR</t>
  </si>
  <si>
    <t>MODIFICAR</t>
  </si>
  <si>
    <t>ELIMINAR</t>
  </si>
  <si>
    <t>OBSERVACIONES</t>
  </si>
  <si>
    <t>ESTADO</t>
  </si>
  <si>
    <t>Ciudad del mundo</t>
  </si>
  <si>
    <t>Departamento o estado del mundo</t>
  </si>
  <si>
    <t>Funcionalidad</t>
  </si>
  <si>
    <t>País del mundo</t>
  </si>
  <si>
    <t>Privilegio y restricción de acceso de usuario</t>
  </si>
  <si>
    <t>Rol</t>
  </si>
  <si>
    <t>Tipo de documento de identificación</t>
  </si>
  <si>
    <t>Tipo de usuario</t>
  </si>
  <si>
    <t>Usuario</t>
  </si>
  <si>
    <t>INSTRUCCIONES DE USO</t>
  </si>
  <si>
    <t>1. Objetivo:</t>
  </si>
  <si>
    <t>Verificar que cada entidad cumple con todas las operaciones CRUD en Postman.</t>
  </si>
  <si>
    <t>2. Cómo usar este archivo:</t>
  </si>
  <si>
    <t xml:space="preserve">   • Para cada entidad, marca las columnas con:</t>
  </si>
  <si>
    <t xml:space="preserve">     - OK: La operación funciona correctamente en Postman</t>
  </si>
  <si>
    <t xml:space="preserve">     - PENDIENTE: Aún no se ha probado</t>
  </si>
  <si>
    <t xml:space="preserve">     - ERROR: La operación presenta fallos</t>
  </si>
  <si>
    <t xml:space="preserve">     - NO APLICA: La entidad no requiere esta funcionalidad</t>
  </si>
  <si>
    <t xml:space="preserve">   • Usa la lista desplegable en cada celda para seleccionar el estado</t>
  </si>
  <si>
    <t xml:space="preserve">   • Añade observaciones en la columna correspondiente si es necesario</t>
  </si>
  <si>
    <t>3. Columna CONTADOR:</t>
  </si>
  <si>
    <t xml:space="preserve">   • Marca OK si la entidad tiene contador y funciona correctamente</t>
  </si>
  <si>
    <t xml:space="preserve">   • Marca NO APLICA si la entidad no maneja contador</t>
  </si>
  <si>
    <t xml:space="preserve">   • El contador es opcional según la naturaleza de cada entidad</t>
  </si>
  <si>
    <t>4. Columna ESTADO:</t>
  </si>
  <si>
    <t xml:space="preserve">   • Se marca automáticamente como "OK" cuando todas las operaciones estén en OK o NO APLICA</t>
  </si>
  <si>
    <t xml:space="preserve">   • Acepta combinaciones: algunas operaciones en OK y otras en NO APLICA</t>
  </si>
  <si>
    <t xml:space="preserve">   • Solo NO se marca OK si hay operaciones en PENDIENTE o ERROR</t>
  </si>
  <si>
    <t xml:space="preserve">   • Cuando el ESTADO es "OK", la fila completa se ilumina en color VERDE</t>
  </si>
  <si>
    <t>5. Resumen de Progreso:</t>
  </si>
  <si>
    <t xml:space="preserve">   • Se actualiza automáticamente en la parte superior de la hoja principal</t>
  </si>
  <si>
    <t xml:space="preserve">   • Muestra: Total de entidades, Completadas, Pendientes y % de Avance</t>
  </si>
  <si>
    <t xml:space="preserve">   • Las "Completadas" se cuentan cuando el ESTADO = "OK"</t>
  </si>
  <si>
    <t xml:space="preserve">   • Las entidades con operaciones marcadas como NO APLICA SÍ cuentan como completadas</t>
  </si>
  <si>
    <t>6. Código de Colores:</t>
  </si>
  <si>
    <t xml:space="preserve">   • Azul oscuro: Encabezados de columnas</t>
  </si>
  <si>
    <t xml:space="preserve">   • Naranja: Resumen de progreso</t>
  </si>
  <si>
    <t xml:space="preserve">   • Verde claro: Fila completa cuando todas las operaciones están OK o NO APLICA</t>
  </si>
  <si>
    <t>7. Consejos:</t>
  </si>
  <si>
    <t xml:space="preserve">   • Prueba cada operación CRUD en Postman antes de marcarla</t>
  </si>
  <si>
    <t xml:space="preserve">   • Documenta errores específicos en la columna de Observaciones</t>
  </si>
  <si>
    <t xml:space="preserve">   • Revisa que los códigos de respuesta HTTP sean los correctos (200, 201, 204, etc.)</t>
  </si>
  <si>
    <t xml:space="preserve">   • Verifica que los datos se persistan correctamente en la base de datos</t>
  </si>
  <si>
    <t xml:space="preserve">   • Usa NO APLICA solo cuando la entidad realmente no requiere esa funcionalidad</t>
  </si>
  <si>
    <t xml:space="preserve">   • El archivo calculará automáticamente el progreso a medida que completes las pruebas</t>
  </si>
  <si>
    <t>CRITERIOS DE VALIDACIÓN PARA CADA OPERACIÓN</t>
  </si>
  <si>
    <t>OPERACIÓN</t>
  </si>
  <si>
    <t>CRITERIOS PARA MARCAR COMO "OK"</t>
  </si>
  <si>
    <t>• El contador incrementa correctamente al crear nuevos registros</t>
  </si>
  <si>
    <t>• El formato del contador es consistente</t>
  </si>
  <si>
    <t>• No se duplican valores del contador</t>
  </si>
  <si>
    <t>• Marca NO APLICA si la entidad no maneja contador</t>
  </si>
  <si>
    <t>LISTAR (GET ALL)</t>
  </si>
  <si>
    <t>• Retorna código HTTP 200</t>
  </si>
  <si>
    <t>• Devuelve lista de entidades (puede estar vacía)</t>
  </si>
  <si>
    <t>• Formato JSON correcto</t>
  </si>
  <si>
    <t>• Paginación funciona (si aplica)</t>
  </si>
  <si>
    <t>• Filtros funcionan correctamente (si aplica)</t>
  </si>
  <si>
    <t>CREAR (POST)</t>
  </si>
  <si>
    <t>• Retorna código HTTP 201</t>
  </si>
  <si>
    <t>• Crea el registro en la base de datos</t>
  </si>
  <si>
    <t>• Retorna la entidad creada con el ID asignado</t>
  </si>
  <si>
    <t>• Validaciones funcionan correctamente</t>
  </si>
  <si>
    <t>• Rechaza datos inválidos con código 400</t>
  </si>
  <si>
    <t>CONSULTAR (GET BY ID)</t>
  </si>
  <si>
    <t>• Retorna código HTTP 200 cuando existe</t>
  </si>
  <si>
    <t>• Devuelve la entidad correcta según el ID</t>
  </si>
  <si>
    <t>• Retorna código HTTP 404 cuando no existe</t>
  </si>
  <si>
    <t>MODIFICAR (PUT/PATCH)</t>
  </si>
  <si>
    <t>• Retorna código HTTP 200 o 204</t>
  </si>
  <si>
    <t>• Actualiza los datos en la base de datos</t>
  </si>
  <si>
    <t>• Retorna la entidad actualizada (si aplica)</t>
  </si>
  <si>
    <t>• Retorna código HTTP 404 si no existe</t>
  </si>
  <si>
    <t>ELIMINAR (DELETE)</t>
  </si>
  <si>
    <t>• Retorna código HTTP 204 o 200</t>
  </si>
  <si>
    <t>• Elimina el registro de la base de datos</t>
  </si>
  <si>
    <t>• Maneja correctamente restricciones de FK (si aplica)</t>
  </si>
  <si>
    <t>NO APLICA</t>
  </si>
  <si>
    <t>• Usa esta opción cuando la entidad NO requiere esa funcionalidad</t>
  </si>
  <si>
    <t>• Ejemplo: entidades de solo lectura pueden no tener CREAR, MODIFICAR, ELIMINAR</t>
  </si>
  <si>
    <t>• Ejemplo: algunas entidades no manejan CONTADOR</t>
  </si>
  <si>
    <t>• Las operaciones marcadas NO APLICA cuentan como completadas</t>
  </si>
  <si>
    <t>LISTA DE CHEQUEO DE TESTING - ENTIDADES DE BACKEND DE SPRING TOOL SISTEMA INTEGRADO DE GESTION DE SEGURIDAD V1.0.</t>
  </si>
  <si>
    <t>Baja de empleado</t>
  </si>
  <si>
    <t>Auditoria del sistema</t>
  </si>
  <si>
    <t>Clasificacion de empleado de planta</t>
  </si>
  <si>
    <t>Empleado</t>
  </si>
  <si>
    <t>Establecimiento del cliente</t>
  </si>
  <si>
    <t>Historial de movimiento del empleado</t>
  </si>
  <si>
    <t>Historial de novedad del empleado</t>
  </si>
  <si>
    <t>Parametros del sistema</t>
  </si>
  <si>
    <t>Programación del turno del empleado</t>
  </si>
  <si>
    <t>Sede de establecimiento del cliente</t>
  </si>
  <si>
    <t>Subclasificacion del empleado de planta</t>
  </si>
  <si>
    <t>Tipo de empleado</t>
  </si>
  <si>
    <t>Tipo de empleado de planta</t>
  </si>
  <si>
    <t>Tipo de movimiento</t>
  </si>
  <si>
    <t>Tipo de novedad de empleado</t>
  </si>
  <si>
    <t>Turno</t>
  </si>
  <si>
    <t>OK</t>
  </si>
  <si>
    <t>FUNCIONAMIENTO TOTAL</t>
  </si>
  <si>
    <t>Alta de empleado</t>
  </si>
  <si>
    <t>Puesto de sede de establecimiento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</si>
</sst>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3"/>
      <color rgb="FF1F4E78"/>
      <name val="Cambria"/>
      <charset val="1"/>
    </font>
    <font>
      <b/>
      <sz val="11"/>
      <name val="Cambria"/>
      <charset val="1"/>
    </font>
    <font>
      <b/>
      <sz val="12"/>
      <color rgb="FF1F4E78"/>
      <name val="Cambria"/>
      <charset val="1"/>
    </font>
    <font>
      <b/>
      <sz val="12"/>
      <color rgb="FF00B050"/>
      <name val="Cambria"/>
      <charset val="1"/>
    </font>
    <font>
      <b/>
      <sz val="12"/>
      <color rgb="FFC00000"/>
      <name val="Cambria"/>
      <charset val="1"/>
    </font>
    <font>
      <b/>
      <sz val="11"/>
      <color rgb="FFFFFFFF"/>
      <name val="Cambria"/>
      <charset val="1"/>
    </font>
    <font>
      <b/>
      <sz val="14"/>
      <color rgb="FF1F4E78"/>
      <name val="Cambria"/>
      <charset val="1"/>
    </font>
    <font>
      <b/>
      <sz val="11"/>
      <color rgb="FF1F4E78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7" fillId="0" borderId="0" xfId="0" applyFont="1"/>
    <xf numFmtId="0" fontId="0" fillId="0" borderId="1" xfId="0" applyBorder="1"/>
    <xf numFmtId="0" fontId="8" fillId="0" borderId="1" xfId="0" applyFont="1" applyBorder="1"/>
    <xf numFmtId="0" fontId="1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18" sqref="K18"/>
    </sheetView>
  </sheetViews>
  <sheetFormatPr baseColWidth="10" defaultColWidth="8.6640625" defaultRowHeight="14.4" x14ac:dyDescent="0.3"/>
  <cols>
    <col min="1" max="1" width="5" customWidth="1"/>
    <col min="2" max="2" width="70" customWidth="1"/>
    <col min="3" max="3" width="13" customWidth="1"/>
    <col min="4" max="5" width="12" customWidth="1"/>
    <col min="6" max="7" width="14" customWidth="1"/>
    <col min="8" max="8" width="12" customWidth="1"/>
    <col min="9" max="9" width="30" customWidth="1"/>
    <col min="10" max="10" width="12" customWidth="1"/>
  </cols>
  <sheetData>
    <row r="1" spans="1:10" ht="30" customHeight="1" x14ac:dyDescent="0.3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6" x14ac:dyDescent="0.3">
      <c r="A3" s="1" t="s">
        <v>1</v>
      </c>
      <c r="B3" s="2">
        <v>27</v>
      </c>
      <c r="C3" s="1" t="s">
        <v>2</v>
      </c>
      <c r="D3" s="3">
        <f>COUNTIF(J5:J31,"OK")</f>
        <v>27</v>
      </c>
      <c r="E3" s="1" t="s">
        <v>3</v>
      </c>
      <c r="F3" s="4">
        <f>B3-D3</f>
        <v>0</v>
      </c>
      <c r="G3" s="1" t="s">
        <v>4</v>
      </c>
      <c r="H3" s="5">
        <f>D3/B3</f>
        <v>1</v>
      </c>
    </row>
    <row r="4" spans="1:10" x14ac:dyDescent="0.3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spans="1:10" x14ac:dyDescent="0.3">
      <c r="A5" s="7">
        <v>1</v>
      </c>
      <c r="B5" s="8" t="s">
        <v>116</v>
      </c>
      <c r="C5" s="7" t="s">
        <v>114</v>
      </c>
      <c r="D5" s="7" t="s">
        <v>114</v>
      </c>
      <c r="E5" s="7" t="s">
        <v>114</v>
      </c>
      <c r="F5" s="7" t="s">
        <v>114</v>
      </c>
      <c r="G5" s="7" t="s">
        <v>114</v>
      </c>
      <c r="H5" s="7" t="s">
        <v>114</v>
      </c>
      <c r="I5" s="8" t="s">
        <v>115</v>
      </c>
      <c r="J5" s="7" t="str">
        <f t="shared" ref="J5:J28" si="0">IF(AND(OR(C5="OK",C5="NO APLICA"),OR(D5="OK",D5="NO APLICA"),OR(E5="OK",E5="NO APLICA"),OR(F5="OK",F5="NO APLICA"),OR(G5="OK",G5="NO APLICA"),OR(H5="OK",H5="NO APLICA")),"OK","")</f>
        <v>OK</v>
      </c>
    </row>
    <row r="6" spans="1:10" x14ac:dyDescent="0.3">
      <c r="A6" s="7">
        <v>2</v>
      </c>
      <c r="B6" s="8" t="s">
        <v>99</v>
      </c>
      <c r="C6" s="7" t="s">
        <v>114</v>
      </c>
      <c r="D6" s="7" t="s">
        <v>114</v>
      </c>
      <c r="E6" s="7" t="s">
        <v>114</v>
      </c>
      <c r="F6" s="7" t="s">
        <v>114</v>
      </c>
      <c r="G6" s="7" t="s">
        <v>114</v>
      </c>
      <c r="H6" s="7" t="s">
        <v>114</v>
      </c>
      <c r="I6" s="8" t="s">
        <v>115</v>
      </c>
      <c r="J6" s="7" t="str">
        <f t="shared" si="0"/>
        <v>OK</v>
      </c>
    </row>
    <row r="7" spans="1:10" x14ac:dyDescent="0.3">
      <c r="A7" s="7">
        <v>3</v>
      </c>
      <c r="B7" s="8" t="s">
        <v>98</v>
      </c>
      <c r="C7" s="7" t="s">
        <v>114</v>
      </c>
      <c r="D7" s="7" t="s">
        <v>114</v>
      </c>
      <c r="E7" s="7" t="s">
        <v>114</v>
      </c>
      <c r="F7" s="7" t="s">
        <v>114</v>
      </c>
      <c r="G7" s="7" t="s">
        <v>114</v>
      </c>
      <c r="H7" s="7" t="s">
        <v>114</v>
      </c>
      <c r="I7" s="8" t="s">
        <v>115</v>
      </c>
      <c r="J7" s="7" t="str">
        <f t="shared" si="0"/>
        <v>OK</v>
      </c>
    </row>
    <row r="8" spans="1:10" x14ac:dyDescent="0.3">
      <c r="A8" s="7">
        <v>4</v>
      </c>
      <c r="B8" s="8" t="s">
        <v>15</v>
      </c>
      <c r="C8" s="7" t="s">
        <v>114</v>
      </c>
      <c r="D8" s="7" t="s">
        <v>114</v>
      </c>
      <c r="E8" s="7" t="s">
        <v>114</v>
      </c>
      <c r="F8" s="7" t="s">
        <v>114</v>
      </c>
      <c r="G8" s="7" t="s">
        <v>114</v>
      </c>
      <c r="H8" s="7" t="s">
        <v>114</v>
      </c>
      <c r="I8" s="8" t="s">
        <v>115</v>
      </c>
      <c r="J8" s="7" t="str">
        <f t="shared" si="0"/>
        <v>OK</v>
      </c>
    </row>
    <row r="9" spans="1:10" x14ac:dyDescent="0.3">
      <c r="A9" s="7">
        <v>5</v>
      </c>
      <c r="B9" s="8" t="s">
        <v>100</v>
      </c>
      <c r="C9" s="7" t="s">
        <v>114</v>
      </c>
      <c r="D9" s="7" t="s">
        <v>114</v>
      </c>
      <c r="E9" s="7" t="s">
        <v>114</v>
      </c>
      <c r="F9" s="7" t="s">
        <v>114</v>
      </c>
      <c r="G9" s="7" t="s">
        <v>114</v>
      </c>
      <c r="H9" s="7" t="s">
        <v>114</v>
      </c>
      <c r="I9" s="8" t="s">
        <v>115</v>
      </c>
      <c r="J9" s="7" t="str">
        <f t="shared" si="0"/>
        <v>OK</v>
      </c>
    </row>
    <row r="10" spans="1:10" x14ac:dyDescent="0.3">
      <c r="A10" s="7">
        <v>6</v>
      </c>
      <c r="B10" s="8" t="s">
        <v>16</v>
      </c>
      <c r="C10" s="7" t="s">
        <v>114</v>
      </c>
      <c r="D10" s="7" t="s">
        <v>114</v>
      </c>
      <c r="E10" s="7" t="s">
        <v>114</v>
      </c>
      <c r="F10" s="7" t="s">
        <v>114</v>
      </c>
      <c r="G10" s="7" t="s">
        <v>114</v>
      </c>
      <c r="H10" s="7" t="s">
        <v>114</v>
      </c>
      <c r="I10" s="8" t="s">
        <v>115</v>
      </c>
      <c r="J10" s="7" t="str">
        <f t="shared" si="0"/>
        <v>OK</v>
      </c>
    </row>
    <row r="11" spans="1:10" x14ac:dyDescent="0.3">
      <c r="A11" s="7">
        <v>7</v>
      </c>
      <c r="B11" s="8" t="s">
        <v>101</v>
      </c>
      <c r="C11" s="7" t="s">
        <v>114</v>
      </c>
      <c r="D11" s="7" t="s">
        <v>114</v>
      </c>
      <c r="E11" s="7" t="s">
        <v>114</v>
      </c>
      <c r="F11" s="7" t="s">
        <v>114</v>
      </c>
      <c r="G11" s="7" t="s">
        <v>114</v>
      </c>
      <c r="H11" s="7" t="s">
        <v>114</v>
      </c>
      <c r="I11" s="8" t="s">
        <v>115</v>
      </c>
      <c r="J11" s="7" t="str">
        <f t="shared" si="0"/>
        <v>OK</v>
      </c>
    </row>
    <row r="12" spans="1:10" x14ac:dyDescent="0.3">
      <c r="A12" s="7">
        <v>8</v>
      </c>
      <c r="B12" s="8" t="s">
        <v>102</v>
      </c>
      <c r="C12" s="7" t="s">
        <v>114</v>
      </c>
      <c r="D12" s="7" t="s">
        <v>114</v>
      </c>
      <c r="E12" s="7" t="s">
        <v>114</v>
      </c>
      <c r="F12" s="7" t="s">
        <v>114</v>
      </c>
      <c r="G12" s="7" t="s">
        <v>114</v>
      </c>
      <c r="H12" s="7" t="s">
        <v>114</v>
      </c>
      <c r="I12" s="8" t="s">
        <v>115</v>
      </c>
      <c r="J12" s="7" t="str">
        <f t="shared" si="0"/>
        <v>OK</v>
      </c>
    </row>
    <row r="13" spans="1:10" x14ac:dyDescent="0.3">
      <c r="A13" s="7">
        <v>9</v>
      </c>
      <c r="B13" s="8" t="s">
        <v>17</v>
      </c>
      <c r="C13" s="7" t="s">
        <v>114</v>
      </c>
      <c r="D13" s="7" t="s">
        <v>114</v>
      </c>
      <c r="E13" s="7" t="s">
        <v>114</v>
      </c>
      <c r="F13" s="7" t="s">
        <v>114</v>
      </c>
      <c r="G13" s="7" t="s">
        <v>114</v>
      </c>
      <c r="H13" s="7" t="s">
        <v>114</v>
      </c>
      <c r="I13" s="8" t="s">
        <v>115</v>
      </c>
      <c r="J13" s="7" t="str">
        <f t="shared" si="0"/>
        <v>OK</v>
      </c>
    </row>
    <row r="14" spans="1:10" x14ac:dyDescent="0.3">
      <c r="A14" s="7">
        <v>10</v>
      </c>
      <c r="B14" s="8" t="s">
        <v>103</v>
      </c>
      <c r="C14" s="7" t="s">
        <v>114</v>
      </c>
      <c r="D14" s="7" t="s">
        <v>114</v>
      </c>
      <c r="E14" s="7" t="s">
        <v>114</v>
      </c>
      <c r="F14" s="7" t="s">
        <v>114</v>
      </c>
      <c r="G14" s="7" t="s">
        <v>114</v>
      </c>
      <c r="H14" s="7" t="s">
        <v>114</v>
      </c>
      <c r="I14" s="8" t="s">
        <v>115</v>
      </c>
      <c r="J14" s="7" t="str">
        <f t="shared" si="0"/>
        <v>OK</v>
      </c>
    </row>
    <row r="15" spans="1:10" x14ac:dyDescent="0.3">
      <c r="A15" s="7">
        <v>11</v>
      </c>
      <c r="B15" s="8" t="s">
        <v>104</v>
      </c>
      <c r="C15" s="7" t="s">
        <v>114</v>
      </c>
      <c r="D15" s="7" t="s">
        <v>114</v>
      </c>
      <c r="E15" s="7" t="s">
        <v>114</v>
      </c>
      <c r="F15" s="7" t="s">
        <v>114</v>
      </c>
      <c r="G15" s="7" t="s">
        <v>114</v>
      </c>
      <c r="H15" s="7" t="s">
        <v>114</v>
      </c>
      <c r="I15" s="8" t="s">
        <v>115</v>
      </c>
      <c r="J15" s="7" t="str">
        <f t="shared" si="0"/>
        <v>OK</v>
      </c>
    </row>
    <row r="16" spans="1:10" x14ac:dyDescent="0.3">
      <c r="A16" s="7">
        <v>12</v>
      </c>
      <c r="B16" s="8" t="s">
        <v>18</v>
      </c>
      <c r="C16" s="7" t="s">
        <v>114</v>
      </c>
      <c r="D16" s="7" t="s">
        <v>114</v>
      </c>
      <c r="E16" s="7" t="s">
        <v>114</v>
      </c>
      <c r="F16" s="7" t="s">
        <v>114</v>
      </c>
      <c r="G16" s="7" t="s">
        <v>114</v>
      </c>
      <c r="H16" s="7" t="s">
        <v>114</v>
      </c>
      <c r="I16" s="8" t="s">
        <v>115</v>
      </c>
      <c r="J16" s="7" t="str">
        <f t="shared" si="0"/>
        <v>OK</v>
      </c>
    </row>
    <row r="17" spans="1:10" x14ac:dyDescent="0.3">
      <c r="A17" s="7">
        <v>13</v>
      </c>
      <c r="B17" s="8" t="s">
        <v>105</v>
      </c>
      <c r="C17" s="7" t="s">
        <v>114</v>
      </c>
      <c r="D17" s="7" t="s">
        <v>114</v>
      </c>
      <c r="E17" s="7" t="s">
        <v>114</v>
      </c>
      <c r="F17" s="7" t="s">
        <v>114</v>
      </c>
      <c r="G17" s="7" t="s">
        <v>114</v>
      </c>
      <c r="H17" s="7" t="s">
        <v>114</v>
      </c>
      <c r="I17" s="8" t="s">
        <v>115</v>
      </c>
      <c r="J17" s="7" t="str">
        <f t="shared" si="0"/>
        <v>OK</v>
      </c>
    </row>
    <row r="18" spans="1:10" x14ac:dyDescent="0.3">
      <c r="A18" s="7">
        <v>14</v>
      </c>
      <c r="B18" s="8" t="s">
        <v>19</v>
      </c>
      <c r="C18" s="7" t="s">
        <v>114</v>
      </c>
      <c r="D18" s="7" t="s">
        <v>114</v>
      </c>
      <c r="E18" s="7" t="s">
        <v>114</v>
      </c>
      <c r="F18" s="7" t="s">
        <v>114</v>
      </c>
      <c r="G18" s="7" t="s">
        <v>114</v>
      </c>
      <c r="H18" s="7" t="s">
        <v>114</v>
      </c>
      <c r="I18" s="8" t="s">
        <v>115</v>
      </c>
      <c r="J18" s="7" t="str">
        <f t="shared" si="0"/>
        <v>OK</v>
      </c>
    </row>
    <row r="19" spans="1:10" x14ac:dyDescent="0.3">
      <c r="A19" s="7">
        <v>15</v>
      </c>
      <c r="B19" s="8" t="s">
        <v>106</v>
      </c>
      <c r="C19" s="7" t="s">
        <v>114</v>
      </c>
      <c r="D19" s="7" t="s">
        <v>114</v>
      </c>
      <c r="E19" s="7" t="s">
        <v>114</v>
      </c>
      <c r="F19" s="7" t="s">
        <v>114</v>
      </c>
      <c r="G19" s="7" t="s">
        <v>114</v>
      </c>
      <c r="H19" s="7" t="s">
        <v>114</v>
      </c>
      <c r="I19" s="8" t="s">
        <v>115</v>
      </c>
      <c r="J19" s="7" t="str">
        <f t="shared" si="0"/>
        <v>OK</v>
      </c>
    </row>
    <row r="20" spans="1:10" x14ac:dyDescent="0.3">
      <c r="A20" s="7">
        <v>16</v>
      </c>
      <c r="B20" s="8" t="s">
        <v>117</v>
      </c>
      <c r="C20" s="7" t="s">
        <v>114</v>
      </c>
      <c r="D20" s="7" t="s">
        <v>114</v>
      </c>
      <c r="E20" s="7" t="s">
        <v>114</v>
      </c>
      <c r="F20" s="7" t="s">
        <v>114</v>
      </c>
      <c r="G20" s="7" t="s">
        <v>114</v>
      </c>
      <c r="H20" s="7" t="s">
        <v>114</v>
      </c>
      <c r="I20" s="8" t="s">
        <v>115</v>
      </c>
      <c r="J20" s="7" t="str">
        <f t="shared" si="0"/>
        <v>OK</v>
      </c>
    </row>
    <row r="21" spans="1:10" x14ac:dyDescent="0.3">
      <c r="A21" s="7">
        <v>17</v>
      </c>
      <c r="B21" s="8" t="s">
        <v>20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8" t="s">
        <v>115</v>
      </c>
      <c r="J21" s="7" t="str">
        <f t="shared" si="0"/>
        <v>OK</v>
      </c>
    </row>
    <row r="22" spans="1:10" x14ac:dyDescent="0.3">
      <c r="A22" s="7">
        <v>18</v>
      </c>
      <c r="B22" s="8" t="s">
        <v>107</v>
      </c>
      <c r="C22" s="7" t="s">
        <v>114</v>
      </c>
      <c r="D22" s="7" t="s">
        <v>114</v>
      </c>
      <c r="E22" s="7" t="s">
        <v>114</v>
      </c>
      <c r="F22" s="7" t="s">
        <v>114</v>
      </c>
      <c r="G22" s="7" t="s">
        <v>114</v>
      </c>
      <c r="H22" s="7" t="s">
        <v>114</v>
      </c>
      <c r="I22" s="8" t="s">
        <v>115</v>
      </c>
      <c r="J22" s="7" t="str">
        <f t="shared" si="0"/>
        <v>OK</v>
      </c>
    </row>
    <row r="23" spans="1:10" x14ac:dyDescent="0.3">
      <c r="A23" s="7">
        <v>19</v>
      </c>
      <c r="B23" s="8" t="s">
        <v>108</v>
      </c>
      <c r="C23" s="7" t="s">
        <v>114</v>
      </c>
      <c r="D23" s="7" t="s">
        <v>114</v>
      </c>
      <c r="E23" s="7" t="s">
        <v>114</v>
      </c>
      <c r="F23" s="7" t="s">
        <v>114</v>
      </c>
      <c r="G23" s="7" t="s">
        <v>114</v>
      </c>
      <c r="H23" s="7" t="s">
        <v>114</v>
      </c>
      <c r="I23" s="8" t="s">
        <v>115</v>
      </c>
      <c r="J23" s="7" t="str">
        <f t="shared" si="0"/>
        <v>OK</v>
      </c>
    </row>
    <row r="24" spans="1:10" x14ac:dyDescent="0.3">
      <c r="A24" s="7">
        <v>20</v>
      </c>
      <c r="B24" s="8" t="s">
        <v>21</v>
      </c>
      <c r="C24" s="7" t="s">
        <v>114</v>
      </c>
      <c r="D24" s="7" t="s">
        <v>114</v>
      </c>
      <c r="E24" s="7" t="s">
        <v>114</v>
      </c>
      <c r="F24" s="7" t="s">
        <v>114</v>
      </c>
      <c r="G24" s="7" t="s">
        <v>114</v>
      </c>
      <c r="H24" s="7" t="s">
        <v>114</v>
      </c>
      <c r="I24" s="8" t="s">
        <v>115</v>
      </c>
      <c r="J24" s="7" t="str">
        <f t="shared" si="0"/>
        <v>OK</v>
      </c>
    </row>
    <row r="25" spans="1:10" x14ac:dyDescent="0.3">
      <c r="A25" s="7">
        <v>21</v>
      </c>
      <c r="B25" s="8" t="s">
        <v>109</v>
      </c>
      <c r="C25" s="7" t="s">
        <v>114</v>
      </c>
      <c r="D25" s="7" t="s">
        <v>114</v>
      </c>
      <c r="E25" s="7" t="s">
        <v>114</v>
      </c>
      <c r="F25" s="7" t="s">
        <v>114</v>
      </c>
      <c r="G25" s="7" t="s">
        <v>114</v>
      </c>
      <c r="H25" s="7" t="s">
        <v>114</v>
      </c>
      <c r="I25" s="8" t="s">
        <v>115</v>
      </c>
      <c r="J25" s="7" t="str">
        <f t="shared" si="0"/>
        <v>OK</v>
      </c>
    </row>
    <row r="26" spans="1:10" x14ac:dyDescent="0.3">
      <c r="A26" s="7">
        <v>22</v>
      </c>
      <c r="B26" s="8" t="s">
        <v>110</v>
      </c>
      <c r="C26" s="7" t="s">
        <v>114</v>
      </c>
      <c r="D26" s="7" t="s">
        <v>114</v>
      </c>
      <c r="E26" s="7" t="s">
        <v>114</v>
      </c>
      <c r="F26" s="7" t="s">
        <v>114</v>
      </c>
      <c r="G26" s="7" t="s">
        <v>114</v>
      </c>
      <c r="H26" s="7" t="s">
        <v>114</v>
      </c>
      <c r="I26" s="8" t="s">
        <v>115</v>
      </c>
      <c r="J26" s="7" t="str">
        <f t="shared" si="0"/>
        <v>OK</v>
      </c>
    </row>
    <row r="27" spans="1:10" x14ac:dyDescent="0.3">
      <c r="A27" s="7">
        <v>23</v>
      </c>
      <c r="B27" s="8" t="s">
        <v>111</v>
      </c>
      <c r="C27" s="7" t="s">
        <v>114</v>
      </c>
      <c r="D27" s="7" t="s">
        <v>114</v>
      </c>
      <c r="E27" s="7" t="s">
        <v>114</v>
      </c>
      <c r="F27" s="7" t="s">
        <v>114</v>
      </c>
      <c r="G27" s="7" t="s">
        <v>114</v>
      </c>
      <c r="H27" s="7" t="s">
        <v>114</v>
      </c>
      <c r="I27" s="8" t="s">
        <v>115</v>
      </c>
      <c r="J27" s="7" t="str">
        <f t="shared" si="0"/>
        <v>OK</v>
      </c>
    </row>
    <row r="28" spans="1:10" x14ac:dyDescent="0.3">
      <c r="A28" s="7">
        <v>24</v>
      </c>
      <c r="B28" s="8" t="s">
        <v>112</v>
      </c>
      <c r="C28" s="7" t="s">
        <v>114</v>
      </c>
      <c r="D28" s="7" t="s">
        <v>114</v>
      </c>
      <c r="E28" s="7" t="s">
        <v>114</v>
      </c>
      <c r="F28" s="7" t="s">
        <v>114</v>
      </c>
      <c r="G28" s="7" t="s">
        <v>114</v>
      </c>
      <c r="H28" s="7" t="s">
        <v>114</v>
      </c>
      <c r="I28" s="8" t="s">
        <v>115</v>
      </c>
      <c r="J28" s="7" t="str">
        <f t="shared" si="0"/>
        <v>OK</v>
      </c>
    </row>
    <row r="29" spans="1:10" x14ac:dyDescent="0.3">
      <c r="A29" s="7">
        <v>25</v>
      </c>
      <c r="B29" s="8" t="s">
        <v>22</v>
      </c>
      <c r="C29" s="7" t="s">
        <v>114</v>
      </c>
      <c r="D29" s="7" t="s">
        <v>114</v>
      </c>
      <c r="E29" s="7" t="s">
        <v>114</v>
      </c>
      <c r="F29" s="7" t="s">
        <v>114</v>
      </c>
      <c r="G29" s="7" t="s">
        <v>114</v>
      </c>
      <c r="H29" s="7" t="s">
        <v>114</v>
      </c>
      <c r="I29" s="8" t="s">
        <v>115</v>
      </c>
      <c r="J29" s="7" t="str">
        <f>IF(AND(OR(C29="OK",C29="NO APLICA"),OR(D29="OK",D29="NO APLICA"),OR(E29="OK",E29="NO APLICA"),OR(F29="OK",F29="NO APLICA"),OR(G29="OK",G29="NO APLICA"),OR(H29="OK",H29="NO APLICA")),"OK","")</f>
        <v>OK</v>
      </c>
    </row>
    <row r="30" spans="1:10" x14ac:dyDescent="0.3">
      <c r="A30" s="7">
        <v>26</v>
      </c>
      <c r="B30" s="8" t="s">
        <v>113</v>
      </c>
      <c r="C30" s="7" t="s">
        <v>114</v>
      </c>
      <c r="D30" s="7" t="s">
        <v>114</v>
      </c>
      <c r="E30" s="7" t="s">
        <v>114</v>
      </c>
      <c r="F30" s="7" t="s">
        <v>114</v>
      </c>
      <c r="G30" s="7" t="s">
        <v>114</v>
      </c>
      <c r="H30" s="7" t="s">
        <v>114</v>
      </c>
      <c r="I30" s="8" t="s">
        <v>115</v>
      </c>
      <c r="J30" s="7" t="str">
        <f t="shared" ref="J30:J31" si="1">IF(AND(OR(C30="OK",C30="NO APLICA"),OR(D30="OK",D30="NO APLICA"),OR(E30="OK",E30="NO APLICA"),OR(F30="OK",F30="NO APLICA"),OR(G30="OK",G30="NO APLICA"),OR(H30="OK",H30="NO APLICA")),"OK","")</f>
        <v>OK</v>
      </c>
    </row>
    <row r="31" spans="1:10" x14ac:dyDescent="0.3">
      <c r="A31" s="7">
        <v>27</v>
      </c>
      <c r="B31" s="8" t="s">
        <v>23</v>
      </c>
      <c r="C31" s="7" t="s">
        <v>114</v>
      </c>
      <c r="D31" s="7" t="s">
        <v>114</v>
      </c>
      <c r="E31" s="7" t="s">
        <v>114</v>
      </c>
      <c r="F31" s="7" t="s">
        <v>114</v>
      </c>
      <c r="G31" s="7" t="s">
        <v>114</v>
      </c>
      <c r="H31" s="7" t="s">
        <v>114</v>
      </c>
      <c r="I31" s="8" t="s">
        <v>115</v>
      </c>
      <c r="J31" s="7" t="str">
        <f t="shared" si="1"/>
        <v>OK</v>
      </c>
    </row>
  </sheetData>
  <mergeCells count="2">
    <mergeCell ref="A1:J1"/>
    <mergeCell ref="A2:J2"/>
  </mergeCells>
  <conditionalFormatting sqref="A5:J5 J6:J7">
    <cfRule type="expression" dxfId="27" priority="3">
      <formula>$J5="OK"</formula>
    </cfRule>
  </conditionalFormatting>
  <conditionalFormatting sqref="A6:I6">
    <cfRule type="expression" dxfId="26" priority="4">
      <formula>$J6="OK"</formula>
    </cfRule>
  </conditionalFormatting>
  <conditionalFormatting sqref="A7:I7">
    <cfRule type="expression" dxfId="25" priority="5">
      <formula>$J7="OK"</formula>
    </cfRule>
  </conditionalFormatting>
  <conditionalFormatting sqref="A8:J8">
    <cfRule type="expression" dxfId="24" priority="6">
      <formula>$J8="OK"</formula>
    </cfRule>
  </conditionalFormatting>
  <conditionalFormatting sqref="A9:J9">
    <cfRule type="expression" dxfId="23" priority="7">
      <formula>$J9="OK"</formula>
    </cfRule>
  </conditionalFormatting>
  <conditionalFormatting sqref="A10:J10">
    <cfRule type="expression" dxfId="22" priority="8">
      <formula>$J10="OK"</formula>
    </cfRule>
  </conditionalFormatting>
  <conditionalFormatting sqref="A11:J11">
    <cfRule type="expression" dxfId="21" priority="9">
      <formula>$J11="OK"</formula>
    </cfRule>
  </conditionalFormatting>
  <conditionalFormatting sqref="A12:J12">
    <cfRule type="expression" dxfId="20" priority="10">
      <formula>$J12="OK"</formula>
    </cfRule>
  </conditionalFormatting>
  <conditionalFormatting sqref="A13:J13">
    <cfRule type="expression" dxfId="19" priority="11">
      <formula>$J13="OK"</formula>
    </cfRule>
  </conditionalFormatting>
  <conditionalFormatting sqref="A14:J14">
    <cfRule type="expression" dxfId="18" priority="12">
      <formula>$J14="OK"</formula>
    </cfRule>
  </conditionalFormatting>
  <conditionalFormatting sqref="A15:J15">
    <cfRule type="expression" dxfId="17" priority="13">
      <formula>$J15="OK"</formula>
    </cfRule>
  </conditionalFormatting>
  <conditionalFormatting sqref="A16:J16">
    <cfRule type="expression" dxfId="16" priority="14">
      <formula>$J16="OK"</formula>
    </cfRule>
  </conditionalFormatting>
  <conditionalFormatting sqref="A17:J17">
    <cfRule type="expression" dxfId="15" priority="15">
      <formula>$J17="OK"</formula>
    </cfRule>
  </conditionalFormatting>
  <conditionalFormatting sqref="A18 C18:J18">
    <cfRule type="expression" dxfId="14" priority="16">
      <formula>$J18="OK"</formula>
    </cfRule>
  </conditionalFormatting>
  <conditionalFormatting sqref="A19:J19">
    <cfRule type="expression" dxfId="13" priority="17">
      <formula>$J19="OK"</formula>
    </cfRule>
  </conditionalFormatting>
  <conditionalFormatting sqref="A20:J20">
    <cfRule type="expression" dxfId="12" priority="18">
      <formula>$J20="OK"</formula>
    </cfRule>
  </conditionalFormatting>
  <conditionalFormatting sqref="A21:J21">
    <cfRule type="expression" dxfId="11" priority="19">
      <formula>$J21="OK"</formula>
    </cfRule>
  </conditionalFormatting>
  <conditionalFormatting sqref="A22:J22">
    <cfRule type="expression" dxfId="10" priority="20">
      <formula>$J22="OK"</formula>
    </cfRule>
  </conditionalFormatting>
  <conditionalFormatting sqref="A23:J23">
    <cfRule type="expression" dxfId="9" priority="21">
      <formula>$J23="OK"</formula>
    </cfRule>
  </conditionalFormatting>
  <conditionalFormatting sqref="A24:J24">
    <cfRule type="expression" dxfId="8" priority="22">
      <formula>$J24="OK"</formula>
    </cfRule>
  </conditionalFormatting>
  <conditionalFormatting sqref="A25:J25">
    <cfRule type="expression" dxfId="7" priority="23">
      <formula>$J25="OK"</formula>
    </cfRule>
  </conditionalFormatting>
  <conditionalFormatting sqref="A26:J26">
    <cfRule type="expression" dxfId="6" priority="24">
      <formula>$J26="OK"</formula>
    </cfRule>
  </conditionalFormatting>
  <conditionalFormatting sqref="A27:J27">
    <cfRule type="expression" dxfId="5" priority="25">
      <formula>$J27="OK"</formula>
    </cfRule>
  </conditionalFormatting>
  <conditionalFormatting sqref="A28:J28">
    <cfRule type="expression" dxfId="4" priority="26">
      <formula>$J28="OK"</formula>
    </cfRule>
  </conditionalFormatting>
  <conditionalFormatting sqref="A29:J29 J30:J31">
    <cfRule type="expression" dxfId="3" priority="27">
      <formula>$J29="OK"</formula>
    </cfRule>
  </conditionalFormatting>
  <conditionalFormatting sqref="A30:I30 C31">
    <cfRule type="expression" dxfId="2" priority="28">
      <formula>$J30="OK"</formula>
    </cfRule>
  </conditionalFormatting>
  <conditionalFormatting sqref="A31:B31 D31:I31">
    <cfRule type="expression" dxfId="1" priority="29">
      <formula>$J31="OK"</formula>
    </cfRule>
  </conditionalFormatting>
  <conditionalFormatting sqref="B18">
    <cfRule type="expression" dxfId="0" priority="1">
      <formula>$J18="OK"</formula>
    </cfRule>
  </conditionalFormatting>
  <dataValidations count="1">
    <dataValidation type="list" allowBlank="1" errorTitle="Entrada inválida" error="Valor no válido" promptTitle="Estado de verificación" prompt="Selecciona: OK, PENDIENTE, ERROR o NO APLICA" sqref="C5:H31" xr:uid="{00000000-0002-0000-0000-000000000000}">
      <formula1>"OK,PENDIENTE,ERROR,NO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zoomScaleNormal="100" workbookViewId="0"/>
  </sheetViews>
  <sheetFormatPr baseColWidth="10" defaultColWidth="8.6640625" defaultRowHeight="14.4" x14ac:dyDescent="0.3"/>
  <cols>
    <col min="1" max="1" width="100" customWidth="1"/>
  </cols>
  <sheetData>
    <row r="1" spans="1:1" ht="17.399999999999999" x14ac:dyDescent="0.3">
      <c r="A1" s="9" t="s">
        <v>24</v>
      </c>
    </row>
    <row r="3" spans="1:1" x14ac:dyDescent="0.3">
      <c r="A3" s="1" t="s">
        <v>25</v>
      </c>
    </row>
    <row r="4" spans="1:1" x14ac:dyDescent="0.3">
      <c r="A4" t="s">
        <v>26</v>
      </c>
    </row>
    <row r="6" spans="1:1" x14ac:dyDescent="0.3">
      <c r="A6" s="1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5" spans="1:1" x14ac:dyDescent="0.3">
      <c r="A15" s="1" t="s">
        <v>35</v>
      </c>
    </row>
    <row r="16" spans="1:1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20" spans="1:1" x14ac:dyDescent="0.3">
      <c r="A20" s="1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43</v>
      </c>
    </row>
    <row r="26" spans="1:1" x14ac:dyDescent="0.3">
      <c r="A26" s="1" t="s">
        <v>44</v>
      </c>
    </row>
    <row r="27" spans="1:1" x14ac:dyDescent="0.3">
      <c r="A27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  <row r="30" spans="1:1" x14ac:dyDescent="0.3">
      <c r="A30" t="s">
        <v>48</v>
      </c>
    </row>
    <row r="32" spans="1:1" x14ac:dyDescent="0.3">
      <c r="A32" s="1" t="s">
        <v>49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7" spans="1:1" x14ac:dyDescent="0.3">
      <c r="A37" s="1" t="s">
        <v>53</v>
      </c>
    </row>
    <row r="38" spans="1:1" x14ac:dyDescent="0.3">
      <c r="A38" t="s">
        <v>54</v>
      </c>
    </row>
    <row r="39" spans="1:1" x14ac:dyDescent="0.3">
      <c r="A39" t="s">
        <v>55</v>
      </c>
    </row>
    <row r="40" spans="1:1" x14ac:dyDescent="0.3">
      <c r="A40" t="s">
        <v>56</v>
      </c>
    </row>
    <row r="41" spans="1:1" x14ac:dyDescent="0.3">
      <c r="A41" t="s">
        <v>57</v>
      </c>
    </row>
    <row r="42" spans="1:1" x14ac:dyDescent="0.3">
      <c r="A42" t="s">
        <v>58</v>
      </c>
    </row>
    <row r="43" spans="1:1" x14ac:dyDescent="0.3">
      <c r="A43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70" customWidth="1"/>
  </cols>
  <sheetData>
    <row r="1" spans="1:2" ht="17.399999999999999" x14ac:dyDescent="0.3">
      <c r="A1" s="9" t="s">
        <v>60</v>
      </c>
    </row>
    <row r="3" spans="1:2" x14ac:dyDescent="0.3">
      <c r="A3" s="10"/>
      <c r="B3" s="10"/>
    </row>
    <row r="4" spans="1:2" x14ac:dyDescent="0.3">
      <c r="A4" s="6" t="s">
        <v>61</v>
      </c>
      <c r="B4" s="6" t="s">
        <v>62</v>
      </c>
    </row>
    <row r="5" spans="1:2" x14ac:dyDescent="0.3">
      <c r="A5" s="10"/>
      <c r="B5" s="10"/>
    </row>
    <row r="6" spans="1:2" x14ac:dyDescent="0.3">
      <c r="A6" s="11" t="s">
        <v>7</v>
      </c>
      <c r="B6" s="10" t="s">
        <v>63</v>
      </c>
    </row>
    <row r="7" spans="1:2" x14ac:dyDescent="0.3">
      <c r="A7" s="10"/>
      <c r="B7" s="10" t="s">
        <v>64</v>
      </c>
    </row>
    <row r="8" spans="1:2" x14ac:dyDescent="0.3">
      <c r="A8" s="10"/>
      <c r="B8" s="10" t="s">
        <v>65</v>
      </c>
    </row>
    <row r="9" spans="1:2" x14ac:dyDescent="0.3">
      <c r="A9" s="10"/>
      <c r="B9" s="10" t="s">
        <v>66</v>
      </c>
    </row>
    <row r="10" spans="1:2" x14ac:dyDescent="0.3">
      <c r="A10" s="10"/>
      <c r="B10" s="10"/>
    </row>
    <row r="11" spans="1:2" x14ac:dyDescent="0.3">
      <c r="A11" s="11" t="s">
        <v>67</v>
      </c>
      <c r="B11" s="10" t="s">
        <v>68</v>
      </c>
    </row>
    <row r="12" spans="1:2" x14ac:dyDescent="0.3">
      <c r="A12" s="10"/>
      <c r="B12" s="10" t="s">
        <v>69</v>
      </c>
    </row>
    <row r="13" spans="1:2" x14ac:dyDescent="0.3">
      <c r="A13" s="10"/>
      <c r="B13" s="10" t="s">
        <v>70</v>
      </c>
    </row>
    <row r="14" spans="1:2" x14ac:dyDescent="0.3">
      <c r="A14" s="10"/>
      <c r="B14" s="10" t="s">
        <v>71</v>
      </c>
    </row>
    <row r="15" spans="1:2" x14ac:dyDescent="0.3">
      <c r="A15" s="10"/>
      <c r="B15" s="10" t="s">
        <v>72</v>
      </c>
    </row>
    <row r="16" spans="1:2" x14ac:dyDescent="0.3">
      <c r="A16" s="10"/>
      <c r="B16" s="10"/>
    </row>
    <row r="17" spans="1:2" x14ac:dyDescent="0.3">
      <c r="A17" s="11" t="s">
        <v>73</v>
      </c>
      <c r="B17" s="10" t="s">
        <v>74</v>
      </c>
    </row>
    <row r="18" spans="1:2" x14ac:dyDescent="0.3">
      <c r="A18" s="10"/>
      <c r="B18" s="10" t="s">
        <v>75</v>
      </c>
    </row>
    <row r="19" spans="1:2" x14ac:dyDescent="0.3">
      <c r="A19" s="10"/>
      <c r="B19" s="10" t="s">
        <v>76</v>
      </c>
    </row>
    <row r="20" spans="1:2" x14ac:dyDescent="0.3">
      <c r="A20" s="10"/>
      <c r="B20" s="10" t="s">
        <v>77</v>
      </c>
    </row>
    <row r="21" spans="1:2" x14ac:dyDescent="0.3">
      <c r="A21" s="10"/>
      <c r="B21" s="10" t="s">
        <v>78</v>
      </c>
    </row>
    <row r="22" spans="1:2" x14ac:dyDescent="0.3">
      <c r="A22" s="10"/>
      <c r="B22" s="10"/>
    </row>
    <row r="23" spans="1:2" x14ac:dyDescent="0.3">
      <c r="A23" s="11" t="s">
        <v>79</v>
      </c>
      <c r="B23" s="10" t="s">
        <v>80</v>
      </c>
    </row>
    <row r="24" spans="1:2" x14ac:dyDescent="0.3">
      <c r="A24" s="10"/>
      <c r="B24" s="10" t="s">
        <v>81</v>
      </c>
    </row>
    <row r="25" spans="1:2" x14ac:dyDescent="0.3">
      <c r="A25" s="10"/>
      <c r="B25" s="10" t="s">
        <v>82</v>
      </c>
    </row>
    <row r="26" spans="1:2" x14ac:dyDescent="0.3">
      <c r="A26" s="10"/>
      <c r="B26" s="10" t="s">
        <v>70</v>
      </c>
    </row>
    <row r="27" spans="1:2" x14ac:dyDescent="0.3">
      <c r="A27" s="10"/>
      <c r="B27" s="10"/>
    </row>
    <row r="28" spans="1:2" x14ac:dyDescent="0.3">
      <c r="A28" s="11" t="s">
        <v>83</v>
      </c>
      <c r="B28" s="10" t="s">
        <v>84</v>
      </c>
    </row>
    <row r="29" spans="1:2" x14ac:dyDescent="0.3">
      <c r="A29" s="10"/>
      <c r="B29" s="10" t="s">
        <v>85</v>
      </c>
    </row>
    <row r="30" spans="1:2" x14ac:dyDescent="0.3">
      <c r="A30" s="10"/>
      <c r="B30" s="10" t="s">
        <v>86</v>
      </c>
    </row>
    <row r="31" spans="1:2" x14ac:dyDescent="0.3">
      <c r="A31" s="10"/>
      <c r="B31" s="10" t="s">
        <v>77</v>
      </c>
    </row>
    <row r="32" spans="1:2" x14ac:dyDescent="0.3">
      <c r="A32" s="10"/>
      <c r="B32" s="10" t="s">
        <v>87</v>
      </c>
    </row>
    <row r="33" spans="1:2" x14ac:dyDescent="0.3">
      <c r="A33" s="10"/>
      <c r="B33" s="10"/>
    </row>
    <row r="34" spans="1:2" x14ac:dyDescent="0.3">
      <c r="A34" s="11" t="s">
        <v>88</v>
      </c>
      <c r="B34" s="10" t="s">
        <v>89</v>
      </c>
    </row>
    <row r="35" spans="1:2" x14ac:dyDescent="0.3">
      <c r="A35" s="10"/>
      <c r="B35" s="10" t="s">
        <v>90</v>
      </c>
    </row>
    <row r="36" spans="1:2" x14ac:dyDescent="0.3">
      <c r="A36" s="10"/>
      <c r="B36" s="10" t="s">
        <v>87</v>
      </c>
    </row>
    <row r="37" spans="1:2" x14ac:dyDescent="0.3">
      <c r="A37" s="10"/>
      <c r="B37" s="10" t="s">
        <v>91</v>
      </c>
    </row>
    <row r="38" spans="1:2" x14ac:dyDescent="0.3">
      <c r="A38" s="10"/>
      <c r="B38" s="10"/>
    </row>
    <row r="39" spans="1:2" x14ac:dyDescent="0.3">
      <c r="A39" s="11" t="s">
        <v>92</v>
      </c>
      <c r="B39" s="10" t="s">
        <v>93</v>
      </c>
    </row>
    <row r="40" spans="1:2" x14ac:dyDescent="0.3">
      <c r="A40" s="10"/>
      <c r="B40" s="10" t="s">
        <v>94</v>
      </c>
    </row>
    <row r="41" spans="1:2" x14ac:dyDescent="0.3">
      <c r="A41" s="10"/>
      <c r="B41" s="10" t="s">
        <v>95</v>
      </c>
    </row>
    <row r="42" spans="1:2" x14ac:dyDescent="0.3">
      <c r="A42" s="10"/>
      <c r="B42" s="10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 Entidades Backend</vt:lpstr>
      <vt:lpstr>Instrucciones</vt:lpstr>
      <vt:lpstr>Criterios 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2026-04-29T16:23:37Z</dcterms:created>
  <dcterms:modified xsi:type="dcterms:W3CDTF">2026-06-23T23:21:29Z</dcterms:modified>
  <dc:language>en-US</dc:language>
</cp:coreProperties>
</file>